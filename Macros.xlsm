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5022B3EB-BCE5-7840-4BB8-8062D341818C}"/>
  <workbookPr/>
  <mc:AlternateContent xmlns:mc="http://schemas.openxmlformats.org/markup-compatibility/2006">
    <mc:Choice Requires="x15">
      <x15ac:absPath xmlns:x15ac="http://schemas.microsoft.com/office/spreadsheetml/2010/11/ac" url="C:\Users\tusha\Desktop\ExcelR\DATA ANALYST\ASSIGNMENTS\Advanced Excel\GitHub Upload\Seperate files - functions wise\"/>
    </mc:Choice>
  </mc:AlternateContent>
  <xr:revisionPtr revIDLastSave="0" documentId="8_{93C63482-1D44-4FCB-B4F2-712C470DE3B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Macro-1" sheetId="3" r:id="rId2"/>
    <sheet name="2" sheetId="2" r:id="rId3"/>
    <sheet name="Records Table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3" l="1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</calcChain>
</file>

<file path=xl/sharedStrings.xml><?xml version="1.0" encoding="utf-8"?>
<sst xmlns="http://schemas.openxmlformats.org/spreadsheetml/2006/main" count="123" uniqueCount="35">
  <si>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</si>
  <si>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</si>
  <si>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</si>
  <si>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</si>
  <si>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</si>
  <si>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</si>
  <si>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</si>
  <si>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</si>
  <si>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</si>
  <si>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</si>
  <si>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</si>
  <si>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</si>
  <si>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</si>
  <si>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</si>
  <si>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</si>
  <si>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</si>
  <si>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</si>
  <si>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</si>
  <si>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</si>
  <si>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</si>
  <si>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</si>
  <si>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% Profit</t>
  </si>
  <si>
    <t>First Name</t>
  </si>
  <si>
    <t>Last Name</t>
  </si>
  <si>
    <t>DOB</t>
  </si>
  <si>
    <t>Qualification</t>
  </si>
  <si>
    <t>Location</t>
  </si>
  <si>
    <t>Tushar</t>
  </si>
  <si>
    <t>Chaudhari</t>
  </si>
  <si>
    <t>B.E.</t>
  </si>
  <si>
    <t>Branch</t>
  </si>
  <si>
    <t>Mechanical</t>
  </si>
  <si>
    <t>Pune</t>
  </si>
  <si>
    <t>New Joinee Details</t>
  </si>
  <si>
    <t>ID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</si>
</sst>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44" fontId="0" fillId="0" borderId="1" xfId="1" applyFont="1" applyBorder="1"/>
    <xf numFmtId="10" fontId="0" fillId="0" borderId="1" xfId="0" applyNumberFormat="1" applyBorder="1"/>
    <xf numFmtId="0" fontId="0" fillId="2" borderId="0" xfId="0" applyFill="1"/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14</xdr:row>
      <xdr:rowOff>91440</xdr:rowOff>
    </xdr:from>
    <xdr:to>
      <xdr:col>6</xdr:col>
      <xdr:colOff>449580</xdr:colOff>
      <xdr:row>15</xdr:row>
      <xdr:rowOff>144780</xdr:rowOff>
    </xdr:to>
    <xdr:sp macro="[0]!Submit_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70350D-2623-C9B6-DDB5-5705B55FBFE5}"/>
            </a:ext>
          </a:extLst>
        </xdr:cNvPr>
        <xdr:cNvSpPr/>
      </xdr:nvSpPr>
      <xdr:spPr>
        <a:xfrm>
          <a:off x="2781300" y="2651760"/>
          <a:ext cx="800100" cy="23622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K41"/>
  <sheetViews>
    <sheetView tabSelected="1" workbookViewId="0">
      <selection activeCell="M8" sqref="M8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I9">
        <v>0.54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F4E35-C6E4-46D1-BDD5-D7932DAB7645}">
  <dimension ref="C2:K41"/>
  <sheetViews>
    <sheetView workbookViewId="0">
      <selection activeCell="O8" sqref="O8"/>
    </sheetView>
  </sheetViews>
  <sheetFormatPr defaultRowHeight="14.4" x14ac:dyDescent="0.3"/>
  <cols>
    <col min="4" max="4" width="12" bestFit="1" customWidth="1"/>
    <col min="5" max="5" width="18" bestFit="1" customWidth="1"/>
    <col min="6" max="6" width="10.109375" bestFit="1" customWidth="1"/>
    <col min="7" max="7" width="11.88671875" bestFit="1" customWidth="1"/>
    <col min="8" max="8" width="18.109375" bestFit="1" customWidth="1"/>
    <col min="9" max="9" width="20.44140625" bestFit="1" customWidth="1"/>
    <col min="10" max="10" width="9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  <c r="K8" s="3" t="s">
        <v>21</v>
      </c>
    </row>
    <row r="9" spans="3:11" x14ac:dyDescent="0.3">
      <c r="C9" s="2">
        <v>20847</v>
      </c>
      <c r="D9" s="2" t="s">
        <v>5</v>
      </c>
      <c r="E9" s="2">
        <v>4</v>
      </c>
      <c r="F9" s="4">
        <v>2.84</v>
      </c>
      <c r="G9" s="4">
        <v>0.93</v>
      </c>
      <c r="H9" s="4">
        <f t="shared" ref="H9:H41" si="0">(E9*F9)</f>
        <v>11.36</v>
      </c>
      <c r="I9" s="4">
        <v>0.54</v>
      </c>
      <c r="J9" s="4">
        <f t="shared" ref="J9:J41" si="1">(E9*I9)-G9</f>
        <v>1.23</v>
      </c>
      <c r="K9" s="5">
        <f t="shared" ref="K9:K41" si="2">J9/H9</f>
        <v>0.10827464788732395</v>
      </c>
    </row>
    <row r="10" spans="3:11" x14ac:dyDescent="0.3">
      <c r="C10" s="2">
        <v>20228</v>
      </c>
      <c r="D10" s="2" t="s">
        <v>6</v>
      </c>
      <c r="E10" s="2">
        <v>12</v>
      </c>
      <c r="F10" s="4">
        <v>500.98</v>
      </c>
      <c r="G10" s="4">
        <v>26</v>
      </c>
      <c r="H10" s="4">
        <f t="shared" si="0"/>
        <v>6011.76</v>
      </c>
      <c r="I10" s="4">
        <v>0.6</v>
      </c>
      <c r="J10" s="4">
        <f t="shared" si="1"/>
        <v>-18.8</v>
      </c>
      <c r="K10" s="5">
        <f t="shared" si="2"/>
        <v>-3.1272040134669382E-3</v>
      </c>
    </row>
    <row r="11" spans="3:11" x14ac:dyDescent="0.3">
      <c r="C11" s="2">
        <v>21776</v>
      </c>
      <c r="D11" s="2" t="s">
        <v>7</v>
      </c>
      <c r="E11" s="2">
        <v>22</v>
      </c>
      <c r="F11" s="4">
        <v>9.48</v>
      </c>
      <c r="G11" s="4">
        <v>7.29</v>
      </c>
      <c r="H11" s="4">
        <f t="shared" si="0"/>
        <v>208.56</v>
      </c>
      <c r="I11" s="4">
        <v>0.45</v>
      </c>
      <c r="J11" s="4">
        <f t="shared" si="1"/>
        <v>2.6100000000000003</v>
      </c>
      <c r="K11" s="5">
        <f t="shared" si="2"/>
        <v>1.2514384349827389E-2</v>
      </c>
    </row>
    <row r="12" spans="3:11" x14ac:dyDescent="0.3">
      <c r="C12" s="2">
        <v>24844</v>
      </c>
      <c r="D12" s="2" t="s">
        <v>8</v>
      </c>
      <c r="E12" s="2">
        <v>16</v>
      </c>
      <c r="F12" s="4">
        <v>78.69</v>
      </c>
      <c r="G12" s="4">
        <v>19.989999999999998</v>
      </c>
      <c r="H12" s="4">
        <f t="shared" si="0"/>
        <v>1259.04</v>
      </c>
      <c r="I12" s="4">
        <v>0.43</v>
      </c>
      <c r="J12" s="4">
        <f t="shared" si="1"/>
        <v>-13.11</v>
      </c>
      <c r="K12" s="5">
        <f t="shared" si="2"/>
        <v>-1.0412695386961494E-2</v>
      </c>
    </row>
    <row r="13" spans="3:11" x14ac:dyDescent="0.3">
      <c r="C13" s="2">
        <v>24846</v>
      </c>
      <c r="D13" s="2" t="s">
        <v>8</v>
      </c>
      <c r="E13" s="2">
        <v>7</v>
      </c>
      <c r="F13" s="4">
        <v>3.28</v>
      </c>
      <c r="G13" s="4">
        <v>2.31</v>
      </c>
      <c r="H13" s="4">
        <f t="shared" si="0"/>
        <v>22.959999999999997</v>
      </c>
      <c r="I13" s="4">
        <v>0.56000000000000005</v>
      </c>
      <c r="J13" s="4">
        <f t="shared" si="1"/>
        <v>1.6100000000000003</v>
      </c>
      <c r="K13" s="5">
        <f t="shared" si="2"/>
        <v>7.0121951219512216E-2</v>
      </c>
    </row>
    <row r="14" spans="3:11" x14ac:dyDescent="0.3">
      <c r="C14" s="2">
        <v>24847</v>
      </c>
      <c r="D14" s="2" t="s">
        <v>8</v>
      </c>
      <c r="E14" s="2">
        <v>4</v>
      </c>
      <c r="F14" s="4">
        <v>3.28</v>
      </c>
      <c r="G14" s="4">
        <v>4.2</v>
      </c>
      <c r="H14" s="4">
        <f t="shared" si="0"/>
        <v>13.12</v>
      </c>
      <c r="I14" s="4">
        <v>0.56000000000000005</v>
      </c>
      <c r="J14" s="4">
        <f t="shared" si="1"/>
        <v>-1.96</v>
      </c>
      <c r="K14" s="5">
        <f t="shared" si="2"/>
        <v>-0.14939024390243902</v>
      </c>
    </row>
    <row r="15" spans="3:11" x14ac:dyDescent="0.3">
      <c r="C15" s="2">
        <v>24848</v>
      </c>
      <c r="D15" s="2" t="s">
        <v>8</v>
      </c>
      <c r="E15" s="2">
        <v>4</v>
      </c>
      <c r="F15" s="4">
        <v>3.58</v>
      </c>
      <c r="G15" s="4">
        <v>1.63</v>
      </c>
      <c r="H15" s="4">
        <f t="shared" si="0"/>
        <v>14.32</v>
      </c>
      <c r="I15" s="4">
        <v>0.36</v>
      </c>
      <c r="J15" s="4">
        <f t="shared" si="1"/>
        <v>-0.18999999999999995</v>
      </c>
      <c r="K15" s="5">
        <f t="shared" si="2"/>
        <v>-1.3268156424581002E-2</v>
      </c>
    </row>
    <row r="16" spans="3:11" x14ac:dyDescent="0.3">
      <c r="C16" s="2">
        <v>18181</v>
      </c>
      <c r="D16" s="2" t="s">
        <v>7</v>
      </c>
      <c r="E16" s="2">
        <v>7</v>
      </c>
      <c r="F16" s="4">
        <v>4.42</v>
      </c>
      <c r="G16" s="4">
        <v>4.99</v>
      </c>
      <c r="H16" s="4">
        <f t="shared" si="0"/>
        <v>30.939999999999998</v>
      </c>
      <c r="I16" s="4">
        <v>0.38</v>
      </c>
      <c r="J16" s="4">
        <f t="shared" si="1"/>
        <v>-2.33</v>
      </c>
      <c r="K16" s="5">
        <f t="shared" si="2"/>
        <v>-7.5307045895281199E-2</v>
      </c>
    </row>
    <row r="17" spans="3:11" x14ac:dyDescent="0.3">
      <c r="C17" s="2">
        <v>20925</v>
      </c>
      <c r="D17" s="2" t="s">
        <v>8</v>
      </c>
      <c r="E17" s="2">
        <v>10</v>
      </c>
      <c r="F17" s="4">
        <v>35.94</v>
      </c>
      <c r="G17" s="4">
        <v>6.66</v>
      </c>
      <c r="H17" s="4">
        <f t="shared" si="0"/>
        <v>359.4</v>
      </c>
      <c r="I17" s="4">
        <v>0.4</v>
      </c>
      <c r="J17" s="4">
        <f t="shared" si="1"/>
        <v>-2.66</v>
      </c>
      <c r="K17" s="5">
        <f t="shared" si="2"/>
        <v>-7.4012242626599898E-3</v>
      </c>
    </row>
    <row r="18" spans="3:11" x14ac:dyDescent="0.3">
      <c r="C18" s="2">
        <v>26267</v>
      </c>
      <c r="D18" s="2" t="s">
        <v>5</v>
      </c>
      <c r="E18" s="2">
        <v>6</v>
      </c>
      <c r="F18" s="4">
        <v>2.98</v>
      </c>
      <c r="G18" s="4">
        <v>1.58</v>
      </c>
      <c r="H18" s="4">
        <f t="shared" si="0"/>
        <v>17.88</v>
      </c>
      <c r="I18" s="4">
        <v>0.39</v>
      </c>
      <c r="J18" s="4">
        <f t="shared" si="1"/>
        <v>0.75999999999999979</v>
      </c>
      <c r="K18" s="5">
        <f t="shared" si="2"/>
        <v>4.25055928411633E-2</v>
      </c>
    </row>
    <row r="19" spans="3:11" x14ac:dyDescent="0.3">
      <c r="C19" s="2">
        <v>26268</v>
      </c>
      <c r="D19" s="2" t="s">
        <v>5</v>
      </c>
      <c r="E19" s="2">
        <v>10</v>
      </c>
      <c r="F19" s="4">
        <v>115.99</v>
      </c>
      <c r="G19" s="4">
        <v>2.5</v>
      </c>
      <c r="H19" s="4">
        <f t="shared" si="0"/>
        <v>1159.8999999999999</v>
      </c>
      <c r="I19" s="4">
        <v>0.55000000000000004</v>
      </c>
      <c r="J19" s="4">
        <f t="shared" si="1"/>
        <v>3</v>
      </c>
      <c r="K19" s="5">
        <f t="shared" si="2"/>
        <v>2.5864298646435043E-3</v>
      </c>
    </row>
    <row r="20" spans="3:11" x14ac:dyDescent="0.3">
      <c r="C20" s="2">
        <v>23890</v>
      </c>
      <c r="D20" s="2" t="s">
        <v>5</v>
      </c>
      <c r="E20" s="2">
        <v>17</v>
      </c>
      <c r="F20" s="4">
        <v>26.48</v>
      </c>
      <c r="G20" s="4">
        <v>6.93</v>
      </c>
      <c r="H20" s="4">
        <f t="shared" si="0"/>
        <v>450.16</v>
      </c>
      <c r="I20" s="4">
        <v>0.49</v>
      </c>
      <c r="J20" s="4">
        <f t="shared" si="1"/>
        <v>1.4000000000000004</v>
      </c>
      <c r="K20" s="5">
        <f t="shared" si="2"/>
        <v>3.1100053314377118E-3</v>
      </c>
    </row>
    <row r="21" spans="3:11" x14ac:dyDescent="0.3">
      <c r="C21" s="2">
        <v>24063</v>
      </c>
      <c r="D21" s="2" t="s">
        <v>6</v>
      </c>
      <c r="E21" s="2">
        <v>18</v>
      </c>
      <c r="F21" s="4">
        <v>12.99</v>
      </c>
      <c r="G21" s="4">
        <v>9.44</v>
      </c>
      <c r="H21" s="4">
        <f t="shared" si="0"/>
        <v>233.82</v>
      </c>
      <c r="I21" s="4">
        <v>0.39</v>
      </c>
      <c r="J21" s="4">
        <f t="shared" si="1"/>
        <v>-2.419999999999999</v>
      </c>
      <c r="K21" s="5">
        <f t="shared" si="2"/>
        <v>-1.0349841758617737E-2</v>
      </c>
    </row>
    <row r="22" spans="3:11" x14ac:dyDescent="0.3">
      <c r="C22" s="2">
        <v>5890</v>
      </c>
      <c r="D22" s="2" t="s">
        <v>5</v>
      </c>
      <c r="E22" s="2">
        <v>70</v>
      </c>
      <c r="F22" s="4">
        <v>26.48</v>
      </c>
      <c r="G22" s="4">
        <v>6.93</v>
      </c>
      <c r="H22" s="4">
        <f t="shared" si="0"/>
        <v>1853.6000000000001</v>
      </c>
      <c r="I22" s="4">
        <v>0.49</v>
      </c>
      <c r="J22" s="4">
        <f t="shared" si="1"/>
        <v>27.369999999999997</v>
      </c>
      <c r="K22" s="5">
        <f t="shared" si="2"/>
        <v>1.476586102719033E-2</v>
      </c>
    </row>
    <row r="23" spans="3:11" x14ac:dyDescent="0.3">
      <c r="C23" s="2">
        <v>6062</v>
      </c>
      <c r="D23" s="2" t="s">
        <v>6</v>
      </c>
      <c r="E23" s="2">
        <v>58</v>
      </c>
      <c r="F23" s="4">
        <v>5</v>
      </c>
      <c r="G23" s="4">
        <v>3.39</v>
      </c>
      <c r="H23" s="4">
        <f t="shared" si="0"/>
        <v>290</v>
      </c>
      <c r="I23" s="4">
        <v>0.37</v>
      </c>
      <c r="J23" s="4">
        <f t="shared" si="1"/>
        <v>18.07</v>
      </c>
      <c r="K23" s="5">
        <f t="shared" si="2"/>
        <v>6.2310344827586205E-2</v>
      </c>
    </row>
    <row r="24" spans="3:11" x14ac:dyDescent="0.3">
      <c r="C24" s="2">
        <v>6063</v>
      </c>
      <c r="D24" s="2" t="s">
        <v>6</v>
      </c>
      <c r="E24" s="2">
        <v>71</v>
      </c>
      <c r="F24" s="4">
        <v>12.99</v>
      </c>
      <c r="G24" s="4">
        <v>9.44</v>
      </c>
      <c r="H24" s="4">
        <f t="shared" si="0"/>
        <v>922.29</v>
      </c>
      <c r="I24" s="4">
        <v>0.39</v>
      </c>
      <c r="J24" s="4">
        <f t="shared" si="1"/>
        <v>18.25</v>
      </c>
      <c r="K24" s="5">
        <f t="shared" si="2"/>
        <v>1.9787702349586357E-2</v>
      </c>
    </row>
    <row r="25" spans="3:11" x14ac:dyDescent="0.3">
      <c r="C25" s="2">
        <v>20631</v>
      </c>
      <c r="D25" s="2" t="s">
        <v>5</v>
      </c>
      <c r="E25" s="2">
        <v>1</v>
      </c>
      <c r="F25" s="4">
        <v>55.48</v>
      </c>
      <c r="G25" s="4">
        <v>14.3</v>
      </c>
      <c r="H25" s="4">
        <f t="shared" si="0"/>
        <v>55.48</v>
      </c>
      <c r="I25" s="4">
        <v>0.37</v>
      </c>
      <c r="J25" s="4">
        <f t="shared" si="1"/>
        <v>-13.930000000000001</v>
      </c>
      <c r="K25" s="5">
        <f t="shared" si="2"/>
        <v>-0.25108147080028842</v>
      </c>
    </row>
    <row r="26" spans="3:11" x14ac:dyDescent="0.3">
      <c r="C26" s="2">
        <v>20632</v>
      </c>
      <c r="D26" s="2" t="s">
        <v>5</v>
      </c>
      <c r="E26" s="2">
        <v>1</v>
      </c>
      <c r="F26" s="4">
        <v>1.68</v>
      </c>
      <c r="G26" s="4">
        <v>1.57</v>
      </c>
      <c r="H26" s="4">
        <f t="shared" si="0"/>
        <v>1.68</v>
      </c>
      <c r="I26" s="4">
        <v>0.59</v>
      </c>
      <c r="J26" s="4">
        <f t="shared" si="1"/>
        <v>-0.98000000000000009</v>
      </c>
      <c r="K26" s="5">
        <f t="shared" si="2"/>
        <v>-0.58333333333333337</v>
      </c>
    </row>
    <row r="27" spans="3:11" x14ac:dyDescent="0.3">
      <c r="C27" s="2">
        <v>23967</v>
      </c>
      <c r="D27" s="2" t="s">
        <v>6</v>
      </c>
      <c r="E27" s="2">
        <v>12</v>
      </c>
      <c r="F27" s="4">
        <v>4.1399999999999997</v>
      </c>
      <c r="G27" s="4">
        <v>6.6</v>
      </c>
      <c r="H27" s="4">
        <f t="shared" si="0"/>
        <v>49.679999999999993</v>
      </c>
      <c r="I27" s="4">
        <v>0.49</v>
      </c>
      <c r="J27" s="4">
        <f t="shared" si="1"/>
        <v>-0.71999999999999975</v>
      </c>
      <c r="K27" s="5">
        <f t="shared" si="2"/>
        <v>-1.4492753623188403E-2</v>
      </c>
    </row>
    <row r="28" spans="3:11" x14ac:dyDescent="0.3">
      <c r="C28" s="2">
        <v>23509</v>
      </c>
      <c r="D28" s="2" t="s">
        <v>5</v>
      </c>
      <c r="E28" s="2">
        <v>13</v>
      </c>
      <c r="F28" s="4">
        <v>34.99</v>
      </c>
      <c r="G28" s="4">
        <v>7.73</v>
      </c>
      <c r="H28" s="4">
        <f t="shared" si="0"/>
        <v>454.87</v>
      </c>
      <c r="I28" s="4">
        <v>0.59</v>
      </c>
      <c r="J28" s="4">
        <f t="shared" si="1"/>
        <v>-6.0000000000000497E-2</v>
      </c>
      <c r="K28" s="5">
        <f t="shared" si="2"/>
        <v>-1.3190581924506012E-4</v>
      </c>
    </row>
    <row r="29" spans="3:11" x14ac:dyDescent="0.3">
      <c r="C29" s="2">
        <v>23612</v>
      </c>
      <c r="D29" s="2" t="s">
        <v>5</v>
      </c>
      <c r="E29" s="2">
        <v>2</v>
      </c>
      <c r="F29" s="4">
        <v>17.98</v>
      </c>
      <c r="G29" s="4">
        <v>8.51</v>
      </c>
      <c r="H29" s="4">
        <f t="shared" si="0"/>
        <v>35.96</v>
      </c>
      <c r="I29" s="4">
        <v>0.4</v>
      </c>
      <c r="J29" s="4">
        <f t="shared" si="1"/>
        <v>-7.71</v>
      </c>
      <c r="K29" s="5">
        <f t="shared" si="2"/>
        <v>-0.21440489432703003</v>
      </c>
    </row>
    <row r="30" spans="3:11" x14ac:dyDescent="0.3">
      <c r="C30" s="2">
        <v>23278</v>
      </c>
      <c r="D30" s="2" t="s">
        <v>8</v>
      </c>
      <c r="E30" s="2">
        <v>8</v>
      </c>
      <c r="F30" s="4">
        <v>125.99</v>
      </c>
      <c r="G30" s="4">
        <v>7.69</v>
      </c>
      <c r="H30" s="4">
        <f t="shared" si="0"/>
        <v>1007.92</v>
      </c>
      <c r="I30" s="4">
        <v>0.59</v>
      </c>
      <c r="J30" s="4">
        <f t="shared" si="1"/>
        <v>-2.9700000000000006</v>
      </c>
      <c r="K30" s="5">
        <f t="shared" si="2"/>
        <v>-2.9466624335264713E-3</v>
      </c>
    </row>
    <row r="31" spans="3:11" x14ac:dyDescent="0.3">
      <c r="C31" s="2">
        <v>19355</v>
      </c>
      <c r="D31" s="2" t="s">
        <v>9</v>
      </c>
      <c r="E31" s="2">
        <v>22</v>
      </c>
      <c r="F31" s="4">
        <v>205.99</v>
      </c>
      <c r="G31" s="4">
        <v>8.99</v>
      </c>
      <c r="H31" s="4">
        <f t="shared" si="0"/>
        <v>4531.7800000000007</v>
      </c>
      <c r="I31" s="4">
        <v>0.56000000000000005</v>
      </c>
      <c r="J31" s="4">
        <f t="shared" si="1"/>
        <v>3.33</v>
      </c>
      <c r="K31" s="5">
        <f t="shared" si="2"/>
        <v>7.3481060422174059E-4</v>
      </c>
    </row>
    <row r="32" spans="3:11" x14ac:dyDescent="0.3">
      <c r="C32" s="2">
        <v>23654</v>
      </c>
      <c r="D32" s="2" t="s">
        <v>6</v>
      </c>
      <c r="E32" s="2">
        <v>13</v>
      </c>
      <c r="F32" s="4">
        <v>4.24</v>
      </c>
      <c r="G32" s="4">
        <v>5.41</v>
      </c>
      <c r="H32" s="4">
        <f t="shared" si="0"/>
        <v>55.120000000000005</v>
      </c>
      <c r="I32" s="4">
        <v>0.35</v>
      </c>
      <c r="J32" s="4">
        <f t="shared" si="1"/>
        <v>-0.86000000000000032</v>
      </c>
      <c r="K32" s="5">
        <f t="shared" si="2"/>
        <v>-1.5602322206095795E-2</v>
      </c>
    </row>
    <row r="33" spans="3:11" x14ac:dyDescent="0.3">
      <c r="C33" s="2">
        <v>23655</v>
      </c>
      <c r="D33" s="2" t="s">
        <v>6</v>
      </c>
      <c r="E33" s="2">
        <v>18</v>
      </c>
      <c r="F33" s="4">
        <v>2.94</v>
      </c>
      <c r="G33" s="4">
        <v>0.7</v>
      </c>
      <c r="H33" s="4">
        <f t="shared" si="0"/>
        <v>52.92</v>
      </c>
      <c r="I33" s="4">
        <v>0.57999999999999996</v>
      </c>
      <c r="J33" s="4">
        <f t="shared" si="1"/>
        <v>9.74</v>
      </c>
      <c r="K33" s="5">
        <f t="shared" si="2"/>
        <v>0.18405139833711262</v>
      </c>
    </row>
    <row r="34" spans="3:11" x14ac:dyDescent="0.3">
      <c r="C34" s="2">
        <v>25933</v>
      </c>
      <c r="D34" s="2" t="s">
        <v>5</v>
      </c>
      <c r="E34" s="2">
        <v>6</v>
      </c>
      <c r="F34" s="4">
        <v>99.99</v>
      </c>
      <c r="G34" s="4">
        <v>19.989999999999998</v>
      </c>
      <c r="H34" s="4">
        <f t="shared" si="0"/>
        <v>599.93999999999994</v>
      </c>
      <c r="I34" s="4">
        <v>0.52</v>
      </c>
      <c r="J34" s="4">
        <f t="shared" si="1"/>
        <v>-16.869999999999997</v>
      </c>
      <c r="K34" s="5">
        <f t="shared" si="2"/>
        <v>-2.8119478614528119E-2</v>
      </c>
    </row>
    <row r="35" spans="3:11" x14ac:dyDescent="0.3">
      <c r="C35" s="2">
        <v>20697</v>
      </c>
      <c r="D35" s="2" t="s">
        <v>8</v>
      </c>
      <c r="E35" s="2">
        <v>6</v>
      </c>
      <c r="F35" s="4">
        <v>115.99</v>
      </c>
      <c r="G35" s="4">
        <v>2.5</v>
      </c>
      <c r="H35" s="4">
        <f t="shared" si="0"/>
        <v>695.93999999999994</v>
      </c>
      <c r="I35" s="4">
        <v>0.56999999999999995</v>
      </c>
      <c r="J35" s="4">
        <f t="shared" si="1"/>
        <v>0.91999999999999993</v>
      </c>
      <c r="K35" s="5">
        <f t="shared" si="2"/>
        <v>1.321953041928902E-3</v>
      </c>
    </row>
    <row r="36" spans="3:11" x14ac:dyDescent="0.3">
      <c r="C36" s="2">
        <v>20698</v>
      </c>
      <c r="D36" s="2" t="s">
        <v>8</v>
      </c>
      <c r="E36" s="2">
        <v>1</v>
      </c>
      <c r="F36" s="4">
        <v>3502.14</v>
      </c>
      <c r="G36" s="4">
        <v>8.73</v>
      </c>
      <c r="H36" s="4">
        <f t="shared" si="0"/>
        <v>3502.14</v>
      </c>
      <c r="I36" s="4">
        <v>0.56999999999999995</v>
      </c>
      <c r="J36" s="4">
        <f t="shared" si="1"/>
        <v>-8.16</v>
      </c>
      <c r="K36" s="5">
        <f t="shared" si="2"/>
        <v>-2.3300039404478405E-3</v>
      </c>
    </row>
    <row r="37" spans="3:11" x14ac:dyDescent="0.3">
      <c r="C37" s="2">
        <v>22890</v>
      </c>
      <c r="D37" s="2" t="s">
        <v>5</v>
      </c>
      <c r="E37" s="2">
        <v>17</v>
      </c>
      <c r="F37" s="4">
        <v>175.99</v>
      </c>
      <c r="G37" s="4">
        <v>5.79</v>
      </c>
      <c r="H37" s="4">
        <f t="shared" si="0"/>
        <v>2991.83</v>
      </c>
      <c r="I37" s="4">
        <v>0.36</v>
      </c>
      <c r="J37" s="4">
        <f t="shared" si="1"/>
        <v>0.33000000000000007</v>
      </c>
      <c r="K37" s="5">
        <f t="shared" si="2"/>
        <v>1.1030038471437217E-4</v>
      </c>
    </row>
    <row r="38" spans="3:11" x14ac:dyDescent="0.3">
      <c r="C38" s="2">
        <v>25354</v>
      </c>
      <c r="D38" s="2" t="s">
        <v>5</v>
      </c>
      <c r="E38" s="2">
        <v>20</v>
      </c>
      <c r="F38" s="4">
        <v>155.06</v>
      </c>
      <c r="G38" s="4">
        <v>1.49</v>
      </c>
      <c r="H38" s="4">
        <f t="shared" si="0"/>
        <v>3101.2</v>
      </c>
      <c r="I38" s="4">
        <v>0.38</v>
      </c>
      <c r="J38" s="4">
        <f t="shared" si="1"/>
        <v>6.1099999999999994</v>
      </c>
      <c r="K38" s="5">
        <f t="shared" si="2"/>
        <v>1.9702050819037789E-3</v>
      </c>
    </row>
    <row r="39" spans="3:11" x14ac:dyDescent="0.3">
      <c r="C39" s="2">
        <v>21017</v>
      </c>
      <c r="D39" s="2" t="s">
        <v>6</v>
      </c>
      <c r="E39" s="2">
        <v>17</v>
      </c>
      <c r="F39" s="4">
        <v>5.98</v>
      </c>
      <c r="G39" s="4">
        <v>0.7</v>
      </c>
      <c r="H39" s="4">
        <f t="shared" si="0"/>
        <v>101.66000000000001</v>
      </c>
      <c r="I39" s="4">
        <v>0.56000000000000005</v>
      </c>
      <c r="J39" s="4">
        <f t="shared" si="1"/>
        <v>8.8200000000000021</v>
      </c>
      <c r="K39" s="5">
        <f t="shared" si="2"/>
        <v>8.6759787527050963E-2</v>
      </c>
    </row>
    <row r="40" spans="3:11" x14ac:dyDescent="0.3">
      <c r="C40" s="2">
        <v>21019</v>
      </c>
      <c r="D40" s="2" t="s">
        <v>6</v>
      </c>
      <c r="E40" s="2">
        <v>3</v>
      </c>
      <c r="F40" s="4">
        <v>29.14</v>
      </c>
      <c r="G40" s="4">
        <v>5.15</v>
      </c>
      <c r="H40" s="4">
        <f t="shared" si="0"/>
        <v>87.42</v>
      </c>
      <c r="I40" s="4">
        <v>0.36</v>
      </c>
      <c r="J40" s="4">
        <f t="shared" si="1"/>
        <v>-4.07</v>
      </c>
      <c r="K40" s="5">
        <f t="shared" si="2"/>
        <v>-4.6556851978952186E-2</v>
      </c>
    </row>
    <row r="41" spans="3:11" x14ac:dyDescent="0.3">
      <c r="C41" s="2">
        <v>23274</v>
      </c>
      <c r="D41" s="2" t="s">
        <v>9</v>
      </c>
      <c r="E41" s="2">
        <v>17</v>
      </c>
      <c r="F41" s="4">
        <v>3.69</v>
      </c>
      <c r="G41" s="4">
        <v>4.8600000000000003</v>
      </c>
      <c r="H41" s="4">
        <f t="shared" si="0"/>
        <v>62.73</v>
      </c>
      <c r="I41" s="4">
        <v>0.38</v>
      </c>
      <c r="J41" s="4">
        <f t="shared" si="1"/>
        <v>1.5999999999999996</v>
      </c>
      <c r="K41" s="5">
        <f t="shared" si="2"/>
        <v>2.5506137414315316E-2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H16"/>
  <sheetViews>
    <sheetView workbookViewId="0">
      <selection activeCell="F24" sqref="F24"/>
    </sheetView>
  </sheetViews>
  <sheetFormatPr defaultRowHeight="14.4" x14ac:dyDescent="0.3"/>
  <cols>
    <col min="3" max="3" width="12.109375" customWidth="1"/>
    <col min="4" max="4" width="3.77734375" customWidth="1"/>
    <col min="5" max="5" width="3.44140625" customWidth="1"/>
    <col min="6" max="6" width="8.5546875" customWidth="1"/>
    <col min="7" max="7" width="14.5546875" customWidth="1"/>
    <col min="8" max="8" width="3.88671875" customWidth="1"/>
  </cols>
  <sheetData>
    <row r="3" spans="3:8" x14ac:dyDescent="0.3">
      <c r="C3" s="1" t="s">
        <v>2</v>
      </c>
    </row>
    <row r="4" spans="3:8" x14ac:dyDescent="0.3">
      <c r="C4" s="1" t="s">
        <v>20</v>
      </c>
    </row>
    <row r="7" spans="3:8" x14ac:dyDescent="0.3">
      <c r="D7" s="6"/>
      <c r="E7" s="6"/>
      <c r="F7" s="6"/>
      <c r="G7" s="6"/>
      <c r="H7" s="6"/>
    </row>
    <row r="8" spans="3:8" x14ac:dyDescent="0.3">
      <c r="D8" s="6"/>
      <c r="E8" s="7" t="s">
        <v>34</v>
      </c>
      <c r="F8" s="7"/>
      <c r="G8" s="8">
        <v>1</v>
      </c>
      <c r="H8" s="6"/>
    </row>
    <row r="9" spans="3:8" x14ac:dyDescent="0.3">
      <c r="D9" s="6"/>
      <c r="E9" s="7" t="s">
        <v>22</v>
      </c>
      <c r="F9" s="7"/>
      <c r="G9" s="8" t="s">
        <v>27</v>
      </c>
      <c r="H9" s="6"/>
    </row>
    <row r="10" spans="3:8" x14ac:dyDescent="0.3">
      <c r="D10" s="6"/>
      <c r="E10" s="7" t="s">
        <v>23</v>
      </c>
      <c r="F10" s="7"/>
      <c r="G10" s="8" t="s">
        <v>28</v>
      </c>
      <c r="H10" s="6"/>
    </row>
    <row r="11" spans="3:8" x14ac:dyDescent="0.3">
      <c r="D11" s="6"/>
      <c r="E11" s="7" t="s">
        <v>24</v>
      </c>
      <c r="F11" s="7"/>
      <c r="G11" s="9">
        <v>35817</v>
      </c>
      <c r="H11" s="6"/>
    </row>
    <row r="12" spans="3:8" x14ac:dyDescent="0.3">
      <c r="D12" s="6"/>
      <c r="E12" s="7" t="s">
        <v>25</v>
      </c>
      <c r="F12" s="7"/>
      <c r="G12" s="8" t="s">
        <v>29</v>
      </c>
      <c r="H12" s="6"/>
    </row>
    <row r="13" spans="3:8" x14ac:dyDescent="0.3">
      <c r="D13" s="6"/>
      <c r="E13" s="7" t="s">
        <v>30</v>
      </c>
      <c r="F13" s="7"/>
      <c r="G13" s="8" t="s">
        <v>31</v>
      </c>
      <c r="H13" s="6"/>
    </row>
    <row r="14" spans="3:8" x14ac:dyDescent="0.3">
      <c r="D14" s="6"/>
      <c r="E14" s="7" t="s">
        <v>26</v>
      </c>
      <c r="F14" s="7"/>
      <c r="G14" s="8" t="s">
        <v>32</v>
      </c>
      <c r="H14" s="6"/>
    </row>
    <row r="15" spans="3:8" x14ac:dyDescent="0.3">
      <c r="D15" s="6"/>
      <c r="E15" s="6"/>
      <c r="F15" s="6"/>
      <c r="G15" s="6"/>
      <c r="H15" s="6"/>
    </row>
    <row r="16" spans="3:8" x14ac:dyDescent="0.3">
      <c r="D16" s="6"/>
      <c r="E16" s="6"/>
      <c r="F16" s="6"/>
      <c r="G16" s="6"/>
      <c r="H16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9385-C71F-4423-B90A-EC4882724479}">
  <dimension ref="B1:H10"/>
  <sheetViews>
    <sheetView workbookViewId="0">
      <selection activeCell="F21" sqref="F21"/>
    </sheetView>
  </sheetViews>
  <sheetFormatPr defaultRowHeight="14.4" x14ac:dyDescent="0.3"/>
  <cols>
    <col min="3" max="3" width="9.77734375" bestFit="1" customWidth="1"/>
    <col min="4" max="4" width="11" customWidth="1"/>
    <col min="5" max="5" width="16.5546875" bestFit="1" customWidth="1"/>
    <col min="6" max="6" width="11.44140625" bestFit="1" customWidth="1"/>
    <col min="7" max="7" width="12" bestFit="1" customWidth="1"/>
  </cols>
  <sheetData>
    <row r="1" spans="2:8" x14ac:dyDescent="0.3">
      <c r="E1" s="11" t="s">
        <v>33</v>
      </c>
    </row>
    <row r="3" spans="2:8" x14ac:dyDescent="0.3">
      <c r="B3" s="10" t="s">
        <v>34</v>
      </c>
      <c r="C3" s="10" t="s">
        <v>22</v>
      </c>
      <c r="D3" s="10" t="s">
        <v>23</v>
      </c>
      <c r="E3" s="10" t="s">
        <v>24</v>
      </c>
      <c r="F3" s="10" t="s">
        <v>25</v>
      </c>
      <c r="G3" s="10" t="s">
        <v>30</v>
      </c>
      <c r="H3" s="10" t="s">
        <v>26</v>
      </c>
    </row>
    <row r="4" spans="2:8" x14ac:dyDescent="0.3">
      <c r="B4" s="8">
        <v>1</v>
      </c>
      <c r="C4" s="8" t="s">
        <v>27</v>
      </c>
      <c r="D4" s="8" t="s">
        <v>28</v>
      </c>
      <c r="E4" s="9">
        <v>35817</v>
      </c>
      <c r="F4" s="8" t="s">
        <v>29</v>
      </c>
      <c r="G4" s="8" t="s">
        <v>31</v>
      </c>
      <c r="H4" s="8" t="s">
        <v>32</v>
      </c>
    </row>
    <row r="5" spans="2:8" x14ac:dyDescent="0.3">
      <c r="B5" s="2"/>
      <c r="C5" s="2"/>
      <c r="D5" s="2"/>
      <c r="E5" s="2"/>
      <c r="F5" s="2"/>
      <c r="G5" s="2"/>
      <c r="H5" s="2"/>
    </row>
    <row r="6" spans="2:8" x14ac:dyDescent="0.3">
      <c r="B6" s="2"/>
      <c r="C6" s="2"/>
      <c r="D6" s="2"/>
      <c r="E6" s="2"/>
      <c r="F6" s="2"/>
      <c r="G6" s="2"/>
      <c r="H6" s="2"/>
    </row>
    <row r="7" spans="2:8" x14ac:dyDescent="0.3">
      <c r="B7" s="2"/>
      <c r="C7" s="2"/>
      <c r="D7" s="2"/>
      <c r="E7" s="2"/>
      <c r="F7" s="2"/>
      <c r="G7" s="2"/>
      <c r="H7" s="2"/>
    </row>
    <row r="8" spans="2:8" x14ac:dyDescent="0.3">
      <c r="B8" s="2"/>
      <c r="C8" s="2"/>
      <c r="D8" s="2"/>
      <c r="E8" s="2"/>
      <c r="F8" s="2"/>
      <c r="G8" s="2"/>
      <c r="H8" s="2"/>
    </row>
    <row r="9" spans="2:8" x14ac:dyDescent="0.3">
      <c r="B9" s="2"/>
      <c r="C9" s="2"/>
      <c r="D9" s="2"/>
      <c r="E9" s="2"/>
      <c r="F9" s="2"/>
      <c r="G9" s="2"/>
      <c r="H9" s="2"/>
    </row>
    <row r="10" spans="2:8" x14ac:dyDescent="0.3">
      <c r="B10" s="2"/>
      <c r="C10" s="2"/>
      <c r="D10" s="2"/>
      <c r="E10" s="2"/>
      <c r="F10" s="2"/>
      <c r="G10" s="2"/>
      <c r="H1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Macro-1</vt:lpstr>
      <vt:lpstr>2</vt:lpstr>
      <vt:lpstr>Records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Tushar</cp:lastModifiedBy>
  <dcterms:created xsi:type="dcterms:W3CDTF">2015-06-05T18:17:20Z</dcterms:created>
  <dcterms:modified xsi:type="dcterms:W3CDTF">2023-08-26T15:40:01Z</dcterms:modified>
</cp:coreProperties>
</file>